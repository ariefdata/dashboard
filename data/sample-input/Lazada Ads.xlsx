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F8D59EF-2EE2-47C3-97AC-7DBE52086E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2" i="1"/>
</calcChain>
</file>

<file path=xl/sharedStrings.xml><?xml version="1.0" encoding="utf-8"?>
<sst xmlns="http://schemas.openxmlformats.org/spreadsheetml/2006/main" count="360" uniqueCount="227">
  <si>
    <t>Tanggal</t>
  </si>
  <si>
    <t>Pengeluaran</t>
  </si>
  <si>
    <t>Pendapatan</t>
  </si>
  <si>
    <t>Order Toko</t>
  </si>
  <si>
    <t>Imbal Hasil (ROI) Toko</t>
  </si>
  <si>
    <t>Impresi</t>
  </si>
  <si>
    <t>Klik</t>
  </si>
  <si>
    <t>Unit Terjual</t>
  </si>
  <si>
    <t>Unit di Troli Toko</t>
  </si>
  <si>
    <t>Tingkat Konversi (CR) Toko</t>
  </si>
  <si>
    <t>Order</t>
  </si>
  <si>
    <t>Unit di Troli</t>
  </si>
  <si>
    <t>CTR</t>
  </si>
  <si>
    <t>Bayar per Klik (CPC)</t>
  </si>
  <si>
    <t>Cost Per Order</t>
  </si>
  <si>
    <t>Tingkat Konversi (CR)</t>
  </si>
  <si>
    <t>Cost per Direct Conversion</t>
  </si>
  <si>
    <t>2026-01-01</t>
  </si>
  <si>
    <t>9</t>
  </si>
  <si>
    <t>40241</t>
  </si>
  <si>
    <t>1393</t>
  </si>
  <si>
    <t>57</t>
  </si>
  <si>
    <t>0.65%</t>
  </si>
  <si>
    <t>8</t>
  </si>
  <si>
    <t>41</t>
  </si>
  <si>
    <t>3.46%</t>
  </si>
  <si>
    <t>0.57%</t>
  </si>
  <si>
    <t>2026-01-02</t>
  </si>
  <si>
    <t>11</t>
  </si>
  <si>
    <t>26921</t>
  </si>
  <si>
    <t>986</t>
  </si>
  <si>
    <t>66</t>
  </si>
  <si>
    <t>1.12%</t>
  </si>
  <si>
    <t>6</t>
  </si>
  <si>
    <t>35</t>
  </si>
  <si>
    <t>3.66%</t>
  </si>
  <si>
    <t>0.61%</t>
  </si>
  <si>
    <t>2026-01-03</t>
  </si>
  <si>
    <t>7</t>
  </si>
  <si>
    <t>26929</t>
  </si>
  <si>
    <t>1107</t>
  </si>
  <si>
    <t>62</t>
  </si>
  <si>
    <t>0.63%</t>
  </si>
  <si>
    <t>38</t>
  </si>
  <si>
    <t>4.11%</t>
  </si>
  <si>
    <t>0.54%</t>
  </si>
  <si>
    <t>2026-01-04</t>
  </si>
  <si>
    <t>3</t>
  </si>
  <si>
    <t>27953</t>
  </si>
  <si>
    <t>1176</t>
  </si>
  <si>
    <t>63</t>
  </si>
  <si>
    <t>0.26%</t>
  </si>
  <si>
    <t>2</t>
  </si>
  <si>
    <t>37</t>
  </si>
  <si>
    <t>4.21%</t>
  </si>
  <si>
    <t>0.17%</t>
  </si>
  <si>
    <t>2026-01-05</t>
  </si>
  <si>
    <t>5</t>
  </si>
  <si>
    <t>28729</t>
  </si>
  <si>
    <t>1251</t>
  </si>
  <si>
    <t>42</t>
  </si>
  <si>
    <t>0.40%</t>
  </si>
  <si>
    <t>24</t>
  </si>
  <si>
    <t>4.35%</t>
  </si>
  <si>
    <t>0.24%</t>
  </si>
  <si>
    <t>2026-01-06</t>
  </si>
  <si>
    <t>4</t>
  </si>
  <si>
    <t>28625</t>
  </si>
  <si>
    <t>1247</t>
  </si>
  <si>
    <t>53</t>
  </si>
  <si>
    <t>0.32%</t>
  </si>
  <si>
    <t>28</t>
  </si>
  <si>
    <t>4.36%</t>
  </si>
  <si>
    <t>2026-01-07</t>
  </si>
  <si>
    <t>27524</t>
  </si>
  <si>
    <t>1206</t>
  </si>
  <si>
    <t>0.66%</t>
  </si>
  <si>
    <t>26</t>
  </si>
  <si>
    <t>4.38%</t>
  </si>
  <si>
    <t>0.58%</t>
  </si>
  <si>
    <t>2026-01-08</t>
  </si>
  <si>
    <t>25892</t>
  </si>
  <si>
    <t>1091</t>
  </si>
  <si>
    <t>47</t>
  </si>
  <si>
    <t>0.55%</t>
  </si>
  <si>
    <t>0.37%</t>
  </si>
  <si>
    <t>2026-01-09</t>
  </si>
  <si>
    <t>26479</t>
  </si>
  <si>
    <t>1438</t>
  </si>
  <si>
    <t>0.21%</t>
  </si>
  <si>
    <t>0</t>
  </si>
  <si>
    <t>32</t>
  </si>
  <si>
    <t>5.43%</t>
  </si>
  <si>
    <t>0.00%</t>
  </si>
  <si>
    <t>2026-01-10</t>
  </si>
  <si>
    <t>21550</t>
  </si>
  <si>
    <t>906</t>
  </si>
  <si>
    <t>59</t>
  </si>
  <si>
    <t>30</t>
  </si>
  <si>
    <t>4.20%</t>
  </si>
  <si>
    <t>2026-01-11</t>
  </si>
  <si>
    <t>67097</t>
  </si>
  <si>
    <t>1070</t>
  </si>
  <si>
    <t>45</t>
  </si>
  <si>
    <t>0.19%</t>
  </si>
  <si>
    <t>1.59%</t>
  </si>
  <si>
    <t>2026-01-12</t>
  </si>
  <si>
    <t>22602</t>
  </si>
  <si>
    <t>1068</t>
  </si>
  <si>
    <t>48</t>
  </si>
  <si>
    <t>16</t>
  </si>
  <si>
    <t>4.73%</t>
  </si>
  <si>
    <t>0.28%</t>
  </si>
  <si>
    <t>2026-01-13</t>
  </si>
  <si>
    <t>20153</t>
  </si>
  <si>
    <t>1062</t>
  </si>
  <si>
    <t>40</t>
  </si>
  <si>
    <t>17</t>
  </si>
  <si>
    <t>5.27%</t>
  </si>
  <si>
    <t>0.38%</t>
  </si>
  <si>
    <t>2026-01-14</t>
  </si>
  <si>
    <t>36631</t>
  </si>
  <si>
    <t>1674</t>
  </si>
  <si>
    <t>70</t>
  </si>
  <si>
    <t>0.42%</t>
  </si>
  <si>
    <t>4.57%</t>
  </si>
  <si>
    <t>0.18%</t>
  </si>
  <si>
    <t>2026-01-15</t>
  </si>
  <si>
    <t>23403</t>
  </si>
  <si>
    <t>1200</t>
  </si>
  <si>
    <t>14</t>
  </si>
  <si>
    <t>5.13%</t>
  </si>
  <si>
    <t>0.25%</t>
  </si>
  <si>
    <t>2026-01-16</t>
  </si>
  <si>
    <t>23649</t>
  </si>
  <si>
    <t>821</t>
  </si>
  <si>
    <t>0.85%</t>
  </si>
  <si>
    <t>20</t>
  </si>
  <si>
    <t>3.47%</t>
  </si>
  <si>
    <t>2026-01-17</t>
  </si>
  <si>
    <t>26895</t>
  </si>
  <si>
    <t>959</t>
  </si>
  <si>
    <t>10</t>
  </si>
  <si>
    <t>75</t>
  </si>
  <si>
    <t>44</t>
  </si>
  <si>
    <t>3.57%</t>
  </si>
  <si>
    <t>0.31%</t>
  </si>
  <si>
    <t>2026-01-18</t>
  </si>
  <si>
    <t>28061</t>
  </si>
  <si>
    <t>1194</t>
  </si>
  <si>
    <t>0.34%</t>
  </si>
  <si>
    <t>43</t>
  </si>
  <si>
    <t>4.26%</t>
  </si>
  <si>
    <t>2026-01-19</t>
  </si>
  <si>
    <t>67972</t>
  </si>
  <si>
    <t>2917</t>
  </si>
  <si>
    <t>13</t>
  </si>
  <si>
    <t>79</t>
  </si>
  <si>
    <t>61</t>
  </si>
  <si>
    <t>4.29%</t>
  </si>
  <si>
    <t>2026-01-20</t>
  </si>
  <si>
    <t>35902</t>
  </si>
  <si>
    <t>2144</t>
  </si>
  <si>
    <t>27</t>
  </si>
  <si>
    <t>5.97%</t>
  </si>
  <si>
    <t>0.33%</t>
  </si>
  <si>
    <t>2026-01-21</t>
  </si>
  <si>
    <t>21342</t>
  </si>
  <si>
    <t>1038</t>
  </si>
  <si>
    <t>18</t>
  </si>
  <si>
    <t>4.86%</t>
  </si>
  <si>
    <t>2026-01-22</t>
  </si>
  <si>
    <t>1</t>
  </si>
  <si>
    <t>16207</t>
  </si>
  <si>
    <t>779</t>
  </si>
  <si>
    <t>23</t>
  </si>
  <si>
    <t>0.13%</t>
  </si>
  <si>
    <t>4.81%</t>
  </si>
  <si>
    <t>2026-01-23</t>
  </si>
  <si>
    <t>25207</t>
  </si>
  <si>
    <t>1598</t>
  </si>
  <si>
    <t>33</t>
  </si>
  <si>
    <t>6.34%</t>
  </si>
  <si>
    <t>2026-01-24</t>
  </si>
  <si>
    <t>23515</t>
  </si>
  <si>
    <t>1270</t>
  </si>
  <si>
    <t>0.16%</t>
  </si>
  <si>
    <t>21</t>
  </si>
  <si>
    <t>5.40%</t>
  </si>
  <si>
    <t>2026-01-25</t>
  </si>
  <si>
    <t>27952</t>
  </si>
  <si>
    <t>1154</t>
  </si>
  <si>
    <t>51</t>
  </si>
  <si>
    <t>4.13%</t>
  </si>
  <si>
    <t>0.52%</t>
  </si>
  <si>
    <t>2026-01-26</t>
  </si>
  <si>
    <t>14349</t>
  </si>
  <si>
    <t>470</t>
  </si>
  <si>
    <t>1.06%</t>
  </si>
  <si>
    <t>19</t>
  </si>
  <si>
    <t>3.28%</t>
  </si>
  <si>
    <t>0.64%</t>
  </si>
  <si>
    <t>2026-01-27</t>
  </si>
  <si>
    <t>14111</t>
  </si>
  <si>
    <t>549</t>
  </si>
  <si>
    <t>36</t>
  </si>
  <si>
    <t>0.36%</t>
  </si>
  <si>
    <t>3.89%</t>
  </si>
  <si>
    <t>2026-01-28</t>
  </si>
  <si>
    <t>40800</t>
  </si>
  <si>
    <t>3136</t>
  </si>
  <si>
    <t>34</t>
  </si>
  <si>
    <t>7.69%</t>
  </si>
  <si>
    <t>2026-01-29</t>
  </si>
  <si>
    <t>33606</t>
  </si>
  <si>
    <t>2505</t>
  </si>
  <si>
    <t>39</t>
  </si>
  <si>
    <t>7.45%</t>
  </si>
  <si>
    <t>2026-01-30</t>
  </si>
  <si>
    <t>31389</t>
  </si>
  <si>
    <t>2234</t>
  </si>
  <si>
    <t>139</t>
  </si>
  <si>
    <t>0.09%</t>
  </si>
  <si>
    <t>82</t>
  </si>
  <si>
    <t>7.12%</t>
  </si>
  <si>
    <t>2026-01-31</t>
  </si>
  <si>
    <t>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</si>
</sst>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selection activeCell="N9" sqref="N9"/>
    </sheetView>
  </sheetViews>
  <sheetFormatPr defaultRowHeight="14.5" x14ac:dyDescent="0.35"/>
  <cols>
    <col min="2" max="2" width="26.54296875" customWidth="1"/>
    <col min="3" max="3" width="24.36328125" customWidth="1"/>
    <col min="12" max="12" width="21.81640625" customWidth="1"/>
    <col min="16" max="17" width="19.54296875" customWidth="1"/>
    <col min="19" max="19" width="24.6328125" customWidth="1"/>
    <col min="20" max="20" width="14.45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</v>
      </c>
      <c r="M1" t="s">
        <v>7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20" x14ac:dyDescent="0.35">
      <c r="A2" t="s">
        <v>17</v>
      </c>
      <c r="B2" s="1">
        <v>379765.93</v>
      </c>
      <c r="C2" s="1">
        <v>2599600</v>
      </c>
      <c r="D2" t="s">
        <v>18</v>
      </c>
      <c r="E2" s="1">
        <v>6.85</v>
      </c>
      <c r="F2" t="s">
        <v>19</v>
      </c>
      <c r="G2" t="s">
        <v>20</v>
      </c>
      <c r="H2" t="s">
        <v>18</v>
      </c>
      <c r="I2" t="s">
        <v>21</v>
      </c>
      <c r="J2" t="s">
        <v>22</v>
      </c>
      <c r="K2" t="s">
        <v>23</v>
      </c>
      <c r="L2" s="1">
        <v>2317360</v>
      </c>
      <c r="M2">
        <v>8</v>
      </c>
      <c r="N2" t="s">
        <v>24</v>
      </c>
      <c r="O2" t="s">
        <v>25</v>
      </c>
      <c r="P2" s="1">
        <v>272.62</v>
      </c>
      <c r="Q2" s="1">
        <v>42196.21</v>
      </c>
      <c r="R2" t="s">
        <v>26</v>
      </c>
      <c r="S2" s="1">
        <v>47470.74</v>
      </c>
      <c r="T2">
        <f>Q2*K2</f>
        <v>337569.68</v>
      </c>
    </row>
    <row r="3" spans="1:20" x14ac:dyDescent="0.35">
      <c r="A3" t="s">
        <v>27</v>
      </c>
      <c r="B3" s="1">
        <v>329974.63</v>
      </c>
      <c r="C3" s="1">
        <v>3120952</v>
      </c>
      <c r="D3" t="s">
        <v>28</v>
      </c>
      <c r="E3" s="1">
        <v>9.4600000000000009</v>
      </c>
      <c r="F3" t="s">
        <v>29</v>
      </c>
      <c r="G3" t="s">
        <v>30</v>
      </c>
      <c r="H3" t="s">
        <v>28</v>
      </c>
      <c r="I3" t="s">
        <v>31</v>
      </c>
      <c r="J3" t="s">
        <v>32</v>
      </c>
      <c r="K3" t="s">
        <v>33</v>
      </c>
      <c r="L3" s="1">
        <v>1723440</v>
      </c>
      <c r="M3">
        <v>6</v>
      </c>
      <c r="N3" t="s">
        <v>34</v>
      </c>
      <c r="O3" t="s">
        <v>35</v>
      </c>
      <c r="P3" s="1">
        <v>334.66</v>
      </c>
      <c r="Q3" s="1">
        <v>29997.69</v>
      </c>
      <c r="R3" t="s">
        <v>36</v>
      </c>
      <c r="S3" s="1">
        <v>54995.77</v>
      </c>
      <c r="T3">
        <f t="shared" ref="T3:T32" si="0">Q3*K3</f>
        <v>179986.13999999998</v>
      </c>
    </row>
    <row r="4" spans="1:20" x14ac:dyDescent="0.35">
      <c r="A4" t="s">
        <v>37</v>
      </c>
      <c r="B4" s="1">
        <v>230224.75</v>
      </c>
      <c r="C4" s="1">
        <v>2033367</v>
      </c>
      <c r="D4" t="s">
        <v>38</v>
      </c>
      <c r="E4" s="1">
        <v>8.83</v>
      </c>
      <c r="F4" t="s">
        <v>39</v>
      </c>
      <c r="G4" t="s">
        <v>40</v>
      </c>
      <c r="H4" t="s">
        <v>38</v>
      </c>
      <c r="I4" t="s">
        <v>41</v>
      </c>
      <c r="J4" t="s">
        <v>42</v>
      </c>
      <c r="K4" t="s">
        <v>33</v>
      </c>
      <c r="L4" s="1">
        <v>1762360</v>
      </c>
      <c r="M4">
        <v>6</v>
      </c>
      <c r="N4" t="s">
        <v>43</v>
      </c>
      <c r="O4" t="s">
        <v>44</v>
      </c>
      <c r="P4" s="1">
        <v>207.97</v>
      </c>
      <c r="Q4" s="1">
        <v>32889.25</v>
      </c>
      <c r="R4" t="s">
        <v>45</v>
      </c>
      <c r="S4" s="1">
        <v>38370.79</v>
      </c>
      <c r="T4">
        <f t="shared" si="0"/>
        <v>197335.5</v>
      </c>
    </row>
    <row r="5" spans="1:20" x14ac:dyDescent="0.35">
      <c r="A5" t="s">
        <v>46</v>
      </c>
      <c r="B5" s="1">
        <v>289561.48</v>
      </c>
      <c r="C5" s="1">
        <v>860240</v>
      </c>
      <c r="D5" t="s">
        <v>47</v>
      </c>
      <c r="E5" s="1">
        <v>2.97</v>
      </c>
      <c r="F5" t="s">
        <v>48</v>
      </c>
      <c r="G5" t="s">
        <v>49</v>
      </c>
      <c r="H5" t="s">
        <v>47</v>
      </c>
      <c r="I5" t="s">
        <v>50</v>
      </c>
      <c r="J5" t="s">
        <v>51</v>
      </c>
      <c r="K5" t="s">
        <v>52</v>
      </c>
      <c r="L5" s="1">
        <v>578000</v>
      </c>
      <c r="M5">
        <v>2</v>
      </c>
      <c r="N5" t="s">
        <v>53</v>
      </c>
      <c r="O5" t="s">
        <v>54</v>
      </c>
      <c r="P5" s="1">
        <v>246.23</v>
      </c>
      <c r="Q5" s="1">
        <v>96520.49</v>
      </c>
      <c r="R5" t="s">
        <v>55</v>
      </c>
      <c r="S5" s="1">
        <v>144780.74</v>
      </c>
      <c r="T5">
        <f t="shared" si="0"/>
        <v>193040.98</v>
      </c>
    </row>
    <row r="6" spans="1:20" x14ac:dyDescent="0.35">
      <c r="A6" t="s">
        <v>56</v>
      </c>
      <c r="B6" s="1">
        <v>268283.89</v>
      </c>
      <c r="C6" s="1">
        <v>1441100</v>
      </c>
      <c r="D6" t="s">
        <v>57</v>
      </c>
      <c r="E6" s="1">
        <v>5.37</v>
      </c>
      <c r="F6" t="s">
        <v>58</v>
      </c>
      <c r="G6" t="s">
        <v>59</v>
      </c>
      <c r="H6" t="s">
        <v>57</v>
      </c>
      <c r="I6" t="s">
        <v>60</v>
      </c>
      <c r="J6" t="s">
        <v>61</v>
      </c>
      <c r="K6" t="s">
        <v>47</v>
      </c>
      <c r="L6" s="1">
        <v>839020</v>
      </c>
      <c r="M6">
        <v>3</v>
      </c>
      <c r="N6" t="s">
        <v>62</v>
      </c>
      <c r="O6" t="s">
        <v>63</v>
      </c>
      <c r="P6" s="1">
        <v>214.46</v>
      </c>
      <c r="Q6" s="1">
        <v>53656.78</v>
      </c>
      <c r="R6" t="s">
        <v>64</v>
      </c>
      <c r="S6" s="1">
        <v>89427.96</v>
      </c>
      <c r="T6">
        <f t="shared" si="0"/>
        <v>160970.34</v>
      </c>
    </row>
    <row r="7" spans="1:20" x14ac:dyDescent="0.35">
      <c r="A7" t="s">
        <v>65</v>
      </c>
      <c r="B7" s="1">
        <v>306922.05</v>
      </c>
      <c r="C7" s="1">
        <v>1194300</v>
      </c>
      <c r="D7" t="s">
        <v>66</v>
      </c>
      <c r="E7" s="1">
        <v>3.89</v>
      </c>
      <c r="F7" t="s">
        <v>67</v>
      </c>
      <c r="G7" t="s">
        <v>68</v>
      </c>
      <c r="H7" t="s">
        <v>66</v>
      </c>
      <c r="I7" t="s">
        <v>69</v>
      </c>
      <c r="J7" t="s">
        <v>70</v>
      </c>
      <c r="K7" t="s">
        <v>47</v>
      </c>
      <c r="L7" s="1">
        <v>921300</v>
      </c>
      <c r="M7">
        <v>3</v>
      </c>
      <c r="N7" t="s">
        <v>71</v>
      </c>
      <c r="O7" t="s">
        <v>72</v>
      </c>
      <c r="P7" s="1">
        <v>246.13</v>
      </c>
      <c r="Q7" s="1">
        <v>76730.509999999995</v>
      </c>
      <c r="R7" t="s">
        <v>64</v>
      </c>
      <c r="S7" s="1">
        <v>102307.35</v>
      </c>
      <c r="T7">
        <f t="shared" si="0"/>
        <v>230191.52999999997</v>
      </c>
    </row>
    <row r="8" spans="1:20" x14ac:dyDescent="0.35">
      <c r="A8" t="s">
        <v>73</v>
      </c>
      <c r="B8" s="1">
        <v>264340.38</v>
      </c>
      <c r="C8" s="1">
        <v>2279350</v>
      </c>
      <c r="D8" t="s">
        <v>23</v>
      </c>
      <c r="E8" s="1">
        <v>8.6199999999999992</v>
      </c>
      <c r="F8" t="s">
        <v>74</v>
      </c>
      <c r="G8" t="s">
        <v>75</v>
      </c>
      <c r="H8" t="s">
        <v>23</v>
      </c>
      <c r="I8" t="s">
        <v>43</v>
      </c>
      <c r="J8" t="s">
        <v>76</v>
      </c>
      <c r="K8" t="s">
        <v>38</v>
      </c>
      <c r="L8" s="1">
        <v>1984570</v>
      </c>
      <c r="M8">
        <v>7</v>
      </c>
      <c r="N8" t="s">
        <v>77</v>
      </c>
      <c r="O8" t="s">
        <v>78</v>
      </c>
      <c r="P8" s="1">
        <v>219.19</v>
      </c>
      <c r="Q8" s="1">
        <v>33042.550000000003</v>
      </c>
      <c r="R8" t="s">
        <v>79</v>
      </c>
      <c r="S8" s="1">
        <v>37762.910000000003</v>
      </c>
      <c r="T8">
        <f t="shared" si="0"/>
        <v>231297.85000000003</v>
      </c>
    </row>
    <row r="9" spans="1:20" x14ac:dyDescent="0.35">
      <c r="A9" t="s">
        <v>80</v>
      </c>
      <c r="B9" s="1">
        <v>280562.90000000002</v>
      </c>
      <c r="C9" s="1">
        <v>1814538</v>
      </c>
      <c r="D9" t="s">
        <v>33</v>
      </c>
      <c r="E9" s="1">
        <v>6.47</v>
      </c>
      <c r="F9" t="s">
        <v>81</v>
      </c>
      <c r="G9" t="s">
        <v>82</v>
      </c>
      <c r="H9" t="s">
        <v>33</v>
      </c>
      <c r="I9" t="s">
        <v>83</v>
      </c>
      <c r="J9" t="s">
        <v>84</v>
      </c>
      <c r="K9" t="s">
        <v>66</v>
      </c>
      <c r="L9" s="1">
        <v>1171858</v>
      </c>
      <c r="M9">
        <v>4</v>
      </c>
      <c r="N9" t="s">
        <v>77</v>
      </c>
      <c r="O9" t="s">
        <v>54</v>
      </c>
      <c r="P9" s="1">
        <v>257.16000000000003</v>
      </c>
      <c r="Q9" s="1">
        <v>46760.480000000003</v>
      </c>
      <c r="R9" t="s">
        <v>85</v>
      </c>
      <c r="S9" s="1">
        <v>70140.73</v>
      </c>
      <c r="T9">
        <f t="shared" si="0"/>
        <v>187041.92000000001</v>
      </c>
    </row>
    <row r="10" spans="1:20" x14ac:dyDescent="0.35">
      <c r="A10" t="s">
        <v>86</v>
      </c>
      <c r="B10" s="1">
        <v>399692.82</v>
      </c>
      <c r="C10" s="1">
        <v>868900</v>
      </c>
      <c r="D10" t="s">
        <v>47</v>
      </c>
      <c r="E10" s="1">
        <v>2.17</v>
      </c>
      <c r="F10" t="s">
        <v>87</v>
      </c>
      <c r="G10" t="s">
        <v>88</v>
      </c>
      <c r="H10" t="s">
        <v>47</v>
      </c>
      <c r="I10" t="s">
        <v>60</v>
      </c>
      <c r="J10" t="s">
        <v>89</v>
      </c>
      <c r="K10" t="s">
        <v>90</v>
      </c>
      <c r="L10" s="1">
        <v>0</v>
      </c>
      <c r="M10">
        <v>0</v>
      </c>
      <c r="N10" t="s">
        <v>91</v>
      </c>
      <c r="O10" t="s">
        <v>92</v>
      </c>
      <c r="P10" s="1">
        <v>277.95</v>
      </c>
      <c r="Q10" s="1">
        <v>133230.94</v>
      </c>
      <c r="R10" t="s">
        <v>93</v>
      </c>
      <c r="S10" s="1">
        <v>0</v>
      </c>
      <c r="T10">
        <f t="shared" si="0"/>
        <v>0</v>
      </c>
    </row>
    <row r="11" spans="1:20" x14ac:dyDescent="0.35">
      <c r="A11" t="s">
        <v>94</v>
      </c>
      <c r="B11" s="1">
        <v>313438.7</v>
      </c>
      <c r="C11" s="1">
        <v>1480880</v>
      </c>
      <c r="D11" t="s">
        <v>57</v>
      </c>
      <c r="E11" s="1">
        <v>4.72</v>
      </c>
      <c r="F11" t="s">
        <v>95</v>
      </c>
      <c r="G11" t="s">
        <v>96</v>
      </c>
      <c r="H11" t="s">
        <v>57</v>
      </c>
      <c r="I11" t="s">
        <v>97</v>
      </c>
      <c r="J11" t="s">
        <v>84</v>
      </c>
      <c r="K11" t="s">
        <v>90</v>
      </c>
      <c r="L11" s="1">
        <v>0</v>
      </c>
      <c r="M11">
        <v>0</v>
      </c>
      <c r="N11" t="s">
        <v>98</v>
      </c>
      <c r="O11" t="s">
        <v>99</v>
      </c>
      <c r="P11" s="1">
        <v>345.96</v>
      </c>
      <c r="Q11" s="1">
        <v>62687.74</v>
      </c>
      <c r="R11" t="s">
        <v>93</v>
      </c>
      <c r="S11" s="1">
        <v>0</v>
      </c>
      <c r="T11">
        <f t="shared" si="0"/>
        <v>0</v>
      </c>
    </row>
    <row r="12" spans="1:20" x14ac:dyDescent="0.35">
      <c r="A12" t="s">
        <v>100</v>
      </c>
      <c r="B12" s="1">
        <v>326165.59000000003</v>
      </c>
      <c r="C12" s="1">
        <v>561140</v>
      </c>
      <c r="D12" t="s">
        <v>52</v>
      </c>
      <c r="E12" s="1">
        <v>1.72</v>
      </c>
      <c r="F12" t="s">
        <v>101</v>
      </c>
      <c r="G12" t="s">
        <v>102</v>
      </c>
      <c r="H12" t="s">
        <v>52</v>
      </c>
      <c r="I12" t="s">
        <v>103</v>
      </c>
      <c r="J12" t="s">
        <v>104</v>
      </c>
      <c r="K12" t="s">
        <v>52</v>
      </c>
      <c r="L12" s="1">
        <v>561140</v>
      </c>
      <c r="M12">
        <v>2</v>
      </c>
      <c r="N12" t="s">
        <v>71</v>
      </c>
      <c r="O12" t="s">
        <v>105</v>
      </c>
      <c r="P12" s="1">
        <v>304.83</v>
      </c>
      <c r="Q12" s="1">
        <v>163082.79999999999</v>
      </c>
      <c r="R12" t="s">
        <v>104</v>
      </c>
      <c r="S12" s="1">
        <v>163082.79999999999</v>
      </c>
      <c r="T12">
        <f t="shared" si="0"/>
        <v>326165.59999999998</v>
      </c>
    </row>
    <row r="13" spans="1:20" x14ac:dyDescent="0.35">
      <c r="A13" t="s">
        <v>106</v>
      </c>
      <c r="B13" s="1">
        <v>242737.07</v>
      </c>
      <c r="C13" s="1">
        <v>1161358</v>
      </c>
      <c r="D13" t="s">
        <v>66</v>
      </c>
      <c r="E13" s="1">
        <v>4.78</v>
      </c>
      <c r="F13" t="s">
        <v>107</v>
      </c>
      <c r="G13" t="s">
        <v>108</v>
      </c>
      <c r="H13" t="s">
        <v>66</v>
      </c>
      <c r="I13" t="s">
        <v>109</v>
      </c>
      <c r="J13" t="s">
        <v>85</v>
      </c>
      <c r="K13" t="s">
        <v>47</v>
      </c>
      <c r="L13" s="1">
        <v>879118</v>
      </c>
      <c r="M13">
        <v>3</v>
      </c>
      <c r="N13" t="s">
        <v>110</v>
      </c>
      <c r="O13" t="s">
        <v>111</v>
      </c>
      <c r="P13" s="1">
        <v>227.28</v>
      </c>
      <c r="Q13" s="1">
        <v>60684.27</v>
      </c>
      <c r="R13" t="s">
        <v>112</v>
      </c>
      <c r="S13" s="1">
        <v>80912.36</v>
      </c>
      <c r="T13">
        <f t="shared" si="0"/>
        <v>182052.81</v>
      </c>
    </row>
    <row r="14" spans="1:20" x14ac:dyDescent="0.35">
      <c r="A14" t="s">
        <v>113</v>
      </c>
      <c r="B14" s="1">
        <v>315621.05</v>
      </c>
      <c r="C14" s="1">
        <v>2380078</v>
      </c>
      <c r="D14" t="s">
        <v>33</v>
      </c>
      <c r="E14" s="1">
        <v>7.54</v>
      </c>
      <c r="F14" t="s">
        <v>114</v>
      </c>
      <c r="G14" t="s">
        <v>115</v>
      </c>
      <c r="H14" t="s">
        <v>18</v>
      </c>
      <c r="I14" t="s">
        <v>116</v>
      </c>
      <c r="J14" t="s">
        <v>26</v>
      </c>
      <c r="K14" t="s">
        <v>66</v>
      </c>
      <c r="L14" s="1">
        <v>1489045</v>
      </c>
      <c r="M14">
        <v>5</v>
      </c>
      <c r="N14" t="s">
        <v>117</v>
      </c>
      <c r="O14" t="s">
        <v>118</v>
      </c>
      <c r="P14" s="1">
        <v>297.19</v>
      </c>
      <c r="Q14" s="1">
        <v>52603.51</v>
      </c>
      <c r="R14" t="s">
        <v>119</v>
      </c>
      <c r="S14" s="1">
        <v>78905.259999999995</v>
      </c>
      <c r="T14">
        <f t="shared" si="0"/>
        <v>210414.04</v>
      </c>
    </row>
    <row r="15" spans="1:20" x14ac:dyDescent="0.35">
      <c r="A15" t="s">
        <v>120</v>
      </c>
      <c r="B15" s="1">
        <v>351004.93</v>
      </c>
      <c r="C15" s="1">
        <v>2082090</v>
      </c>
      <c r="D15" t="s">
        <v>38</v>
      </c>
      <c r="E15" s="1">
        <v>5.93</v>
      </c>
      <c r="F15" t="s">
        <v>121</v>
      </c>
      <c r="G15" t="s">
        <v>122</v>
      </c>
      <c r="H15" t="s">
        <v>38</v>
      </c>
      <c r="I15" t="s">
        <v>123</v>
      </c>
      <c r="J15" t="s">
        <v>124</v>
      </c>
      <c r="K15" t="s">
        <v>47</v>
      </c>
      <c r="L15" s="1">
        <v>908280</v>
      </c>
      <c r="M15">
        <v>3</v>
      </c>
      <c r="N15" t="s">
        <v>103</v>
      </c>
      <c r="O15" t="s">
        <v>125</v>
      </c>
      <c r="P15" s="1">
        <v>209.68</v>
      </c>
      <c r="Q15" s="1">
        <v>50143.56</v>
      </c>
      <c r="R15" t="s">
        <v>126</v>
      </c>
      <c r="S15" s="1">
        <v>117001.64</v>
      </c>
      <c r="T15">
        <f t="shared" si="0"/>
        <v>150430.68</v>
      </c>
    </row>
    <row r="16" spans="1:20" x14ac:dyDescent="0.35">
      <c r="A16" t="s">
        <v>127</v>
      </c>
      <c r="B16" s="1">
        <v>272863.55</v>
      </c>
      <c r="C16" s="1">
        <v>1436859</v>
      </c>
      <c r="D16" t="s">
        <v>57</v>
      </c>
      <c r="E16" s="1">
        <v>5.27</v>
      </c>
      <c r="F16" t="s">
        <v>128</v>
      </c>
      <c r="G16" t="s">
        <v>129</v>
      </c>
      <c r="H16" t="s">
        <v>57</v>
      </c>
      <c r="I16" t="s">
        <v>77</v>
      </c>
      <c r="J16" t="s">
        <v>124</v>
      </c>
      <c r="K16" t="s">
        <v>47</v>
      </c>
      <c r="L16" s="1">
        <v>873619</v>
      </c>
      <c r="M16">
        <v>3</v>
      </c>
      <c r="N16" t="s">
        <v>130</v>
      </c>
      <c r="O16" t="s">
        <v>131</v>
      </c>
      <c r="P16" s="1">
        <v>227.39</v>
      </c>
      <c r="Q16" s="1">
        <v>54572.71</v>
      </c>
      <c r="R16" t="s">
        <v>132</v>
      </c>
      <c r="S16" s="1">
        <v>90954.52</v>
      </c>
      <c r="T16">
        <f t="shared" si="0"/>
        <v>163718.13</v>
      </c>
    </row>
    <row r="17" spans="1:20" x14ac:dyDescent="0.35">
      <c r="A17" t="s">
        <v>133</v>
      </c>
      <c r="B17" s="1">
        <v>160446.59</v>
      </c>
      <c r="C17" s="1">
        <v>1967810</v>
      </c>
      <c r="D17" t="s">
        <v>38</v>
      </c>
      <c r="E17" s="1">
        <v>12.26</v>
      </c>
      <c r="F17" t="s">
        <v>134</v>
      </c>
      <c r="G17" t="s">
        <v>135</v>
      </c>
      <c r="H17" t="s">
        <v>38</v>
      </c>
      <c r="I17" t="s">
        <v>60</v>
      </c>
      <c r="J17" t="s">
        <v>136</v>
      </c>
      <c r="K17" t="s">
        <v>52</v>
      </c>
      <c r="L17" s="1">
        <v>571600</v>
      </c>
      <c r="M17">
        <v>2</v>
      </c>
      <c r="N17" t="s">
        <v>137</v>
      </c>
      <c r="O17" t="s">
        <v>138</v>
      </c>
      <c r="P17" s="1">
        <v>195.43</v>
      </c>
      <c r="Q17" s="1">
        <v>22920.94</v>
      </c>
      <c r="R17" t="s">
        <v>64</v>
      </c>
      <c r="S17" s="1">
        <v>80223.3</v>
      </c>
      <c r="T17">
        <f t="shared" si="0"/>
        <v>45841.88</v>
      </c>
    </row>
    <row r="18" spans="1:20" x14ac:dyDescent="0.35">
      <c r="A18" t="s">
        <v>139</v>
      </c>
      <c r="B18" s="1">
        <v>232670.25</v>
      </c>
      <c r="C18" s="1">
        <v>2966480</v>
      </c>
      <c r="D18" t="s">
        <v>66</v>
      </c>
      <c r="E18" s="1">
        <v>12.75</v>
      </c>
      <c r="F18" t="s">
        <v>140</v>
      </c>
      <c r="G18" t="s">
        <v>141</v>
      </c>
      <c r="H18" t="s">
        <v>142</v>
      </c>
      <c r="I18" t="s">
        <v>143</v>
      </c>
      <c r="J18" t="s">
        <v>124</v>
      </c>
      <c r="K18" t="s">
        <v>47</v>
      </c>
      <c r="L18" s="1">
        <v>906404</v>
      </c>
      <c r="M18">
        <v>3</v>
      </c>
      <c r="N18" t="s">
        <v>144</v>
      </c>
      <c r="O18" t="s">
        <v>145</v>
      </c>
      <c r="P18" s="1">
        <v>242.62</v>
      </c>
      <c r="Q18" s="1">
        <v>58167.56</v>
      </c>
      <c r="R18" t="s">
        <v>146</v>
      </c>
      <c r="S18" s="1">
        <v>77556.75</v>
      </c>
      <c r="T18">
        <f t="shared" si="0"/>
        <v>174502.68</v>
      </c>
    </row>
    <row r="19" spans="1:20" x14ac:dyDescent="0.35">
      <c r="A19" t="s">
        <v>147</v>
      </c>
      <c r="B19" s="1">
        <v>210594.51</v>
      </c>
      <c r="C19" s="1">
        <v>1306820</v>
      </c>
      <c r="D19" t="s">
        <v>66</v>
      </c>
      <c r="E19" s="1">
        <v>6.21</v>
      </c>
      <c r="F19" t="s">
        <v>148</v>
      </c>
      <c r="G19" t="s">
        <v>149</v>
      </c>
      <c r="H19" t="s">
        <v>66</v>
      </c>
      <c r="I19" t="s">
        <v>31</v>
      </c>
      <c r="J19" t="s">
        <v>150</v>
      </c>
      <c r="K19" t="s">
        <v>66</v>
      </c>
      <c r="L19" s="1">
        <v>1306820</v>
      </c>
      <c r="M19">
        <v>4</v>
      </c>
      <c r="N19" t="s">
        <v>151</v>
      </c>
      <c r="O19" t="s">
        <v>152</v>
      </c>
      <c r="P19" s="1">
        <v>176.38</v>
      </c>
      <c r="Q19" s="1">
        <v>52648.63</v>
      </c>
      <c r="R19" t="s">
        <v>150</v>
      </c>
      <c r="S19" s="1">
        <v>52648.63</v>
      </c>
      <c r="T19">
        <f t="shared" si="0"/>
        <v>210594.52</v>
      </c>
    </row>
    <row r="20" spans="1:20" x14ac:dyDescent="0.35">
      <c r="A20" t="s">
        <v>153</v>
      </c>
      <c r="B20" s="1">
        <v>597521.44999999995</v>
      </c>
      <c r="C20" s="1">
        <v>3620850</v>
      </c>
      <c r="D20" t="s">
        <v>142</v>
      </c>
      <c r="E20" s="1">
        <v>6.06</v>
      </c>
      <c r="F20" t="s">
        <v>154</v>
      </c>
      <c r="G20" t="s">
        <v>155</v>
      </c>
      <c r="H20" t="s">
        <v>156</v>
      </c>
      <c r="I20" t="s">
        <v>157</v>
      </c>
      <c r="J20" t="s">
        <v>150</v>
      </c>
      <c r="K20" t="s">
        <v>18</v>
      </c>
      <c r="L20" s="1">
        <v>3033817</v>
      </c>
      <c r="M20">
        <v>10</v>
      </c>
      <c r="N20" t="s">
        <v>158</v>
      </c>
      <c r="O20" t="s">
        <v>159</v>
      </c>
      <c r="P20" s="1">
        <v>204.84</v>
      </c>
      <c r="Q20" s="1">
        <v>59752.15</v>
      </c>
      <c r="R20" t="s">
        <v>146</v>
      </c>
      <c r="S20" s="1">
        <v>66391.27</v>
      </c>
      <c r="T20">
        <f t="shared" si="0"/>
        <v>537769.35</v>
      </c>
    </row>
    <row r="21" spans="1:20" x14ac:dyDescent="0.35">
      <c r="A21" t="s">
        <v>160</v>
      </c>
      <c r="B21" s="1">
        <v>247890.7</v>
      </c>
      <c r="C21" s="1">
        <v>2699242</v>
      </c>
      <c r="D21" t="s">
        <v>18</v>
      </c>
      <c r="E21" s="1">
        <v>10.89</v>
      </c>
      <c r="F21" t="s">
        <v>161</v>
      </c>
      <c r="G21" t="s">
        <v>162</v>
      </c>
      <c r="H21" t="s">
        <v>28</v>
      </c>
      <c r="I21" t="s">
        <v>60</v>
      </c>
      <c r="J21" t="s">
        <v>124</v>
      </c>
      <c r="K21" t="s">
        <v>38</v>
      </c>
      <c r="L21" s="1">
        <v>2039212</v>
      </c>
      <c r="M21">
        <v>7</v>
      </c>
      <c r="N21" t="s">
        <v>163</v>
      </c>
      <c r="O21" t="s">
        <v>164</v>
      </c>
      <c r="P21" s="1">
        <v>115.62</v>
      </c>
      <c r="Q21" s="1">
        <v>27543.41</v>
      </c>
      <c r="R21" t="s">
        <v>165</v>
      </c>
      <c r="S21" s="1">
        <v>35412.959999999999</v>
      </c>
      <c r="T21">
        <f t="shared" si="0"/>
        <v>192803.87</v>
      </c>
    </row>
    <row r="22" spans="1:20" x14ac:dyDescent="0.35">
      <c r="A22" t="s">
        <v>166</v>
      </c>
      <c r="B22" s="1">
        <v>198325.89</v>
      </c>
      <c r="C22" s="1">
        <v>624980</v>
      </c>
      <c r="D22" t="s">
        <v>52</v>
      </c>
      <c r="E22" s="1">
        <v>3.15</v>
      </c>
      <c r="F22" t="s">
        <v>167</v>
      </c>
      <c r="G22" t="s">
        <v>168</v>
      </c>
      <c r="H22" t="s">
        <v>52</v>
      </c>
      <c r="I22" t="s">
        <v>163</v>
      </c>
      <c r="J22" t="s">
        <v>104</v>
      </c>
      <c r="K22" t="s">
        <v>52</v>
      </c>
      <c r="L22" s="1">
        <v>624980</v>
      </c>
      <c r="M22">
        <v>2</v>
      </c>
      <c r="N22" t="s">
        <v>169</v>
      </c>
      <c r="O22" t="s">
        <v>170</v>
      </c>
      <c r="P22" s="1">
        <v>191.07</v>
      </c>
      <c r="Q22" s="1">
        <v>99162.95</v>
      </c>
      <c r="R22" t="s">
        <v>104</v>
      </c>
      <c r="S22" s="1">
        <v>99162.95</v>
      </c>
      <c r="T22">
        <f t="shared" si="0"/>
        <v>198325.9</v>
      </c>
    </row>
    <row r="23" spans="1:20" x14ac:dyDescent="0.35">
      <c r="A23" t="s">
        <v>171</v>
      </c>
      <c r="B23" s="1">
        <v>101292.9</v>
      </c>
      <c r="C23" s="1">
        <v>318073</v>
      </c>
      <c r="D23" t="s">
        <v>172</v>
      </c>
      <c r="E23" s="1">
        <v>3.14</v>
      </c>
      <c r="F23" t="s">
        <v>173</v>
      </c>
      <c r="G23" t="s">
        <v>174</v>
      </c>
      <c r="H23" t="s">
        <v>52</v>
      </c>
      <c r="I23" t="s">
        <v>175</v>
      </c>
      <c r="J23" t="s">
        <v>176</v>
      </c>
      <c r="K23" t="s">
        <v>172</v>
      </c>
      <c r="L23" s="1">
        <v>286687</v>
      </c>
      <c r="M23">
        <v>1</v>
      </c>
      <c r="N23" t="s">
        <v>28</v>
      </c>
      <c r="O23" t="s">
        <v>177</v>
      </c>
      <c r="P23" s="1">
        <v>130.03</v>
      </c>
      <c r="Q23" s="1">
        <v>101292.9</v>
      </c>
      <c r="R23" t="s">
        <v>176</v>
      </c>
      <c r="S23" s="1">
        <v>101292.9</v>
      </c>
      <c r="T23">
        <f t="shared" si="0"/>
        <v>101292.9</v>
      </c>
    </row>
    <row r="24" spans="1:20" x14ac:dyDescent="0.35">
      <c r="A24" t="s">
        <v>178</v>
      </c>
      <c r="B24" s="1">
        <v>189834.17</v>
      </c>
      <c r="C24" s="1">
        <v>1530340</v>
      </c>
      <c r="D24" t="s">
        <v>66</v>
      </c>
      <c r="E24" s="1">
        <v>8.06</v>
      </c>
      <c r="F24" t="s">
        <v>179</v>
      </c>
      <c r="G24" t="s">
        <v>180</v>
      </c>
      <c r="H24" t="s">
        <v>57</v>
      </c>
      <c r="I24" t="s">
        <v>181</v>
      </c>
      <c r="J24" t="s">
        <v>132</v>
      </c>
      <c r="K24" t="s">
        <v>66</v>
      </c>
      <c r="L24" s="1">
        <v>1530340</v>
      </c>
      <c r="M24">
        <v>5</v>
      </c>
      <c r="N24" t="s">
        <v>110</v>
      </c>
      <c r="O24" t="s">
        <v>182</v>
      </c>
      <c r="P24" s="1">
        <v>118.79</v>
      </c>
      <c r="Q24" s="1">
        <v>47458.54</v>
      </c>
      <c r="R24" t="s">
        <v>132</v>
      </c>
      <c r="S24" s="1">
        <v>47458.54</v>
      </c>
      <c r="T24">
        <f t="shared" si="0"/>
        <v>189834.16</v>
      </c>
    </row>
    <row r="25" spans="1:20" x14ac:dyDescent="0.35">
      <c r="A25" t="s">
        <v>183</v>
      </c>
      <c r="B25" s="1">
        <v>118293.09</v>
      </c>
      <c r="C25" s="1">
        <v>540080</v>
      </c>
      <c r="D25" t="s">
        <v>52</v>
      </c>
      <c r="E25" s="1">
        <v>4.57</v>
      </c>
      <c r="F25" t="s">
        <v>184</v>
      </c>
      <c r="G25" t="s">
        <v>185</v>
      </c>
      <c r="H25" t="s">
        <v>52</v>
      </c>
      <c r="I25" t="s">
        <v>98</v>
      </c>
      <c r="J25" t="s">
        <v>186</v>
      </c>
      <c r="K25" t="s">
        <v>52</v>
      </c>
      <c r="L25" s="1">
        <v>540080</v>
      </c>
      <c r="M25">
        <v>2</v>
      </c>
      <c r="N25" t="s">
        <v>187</v>
      </c>
      <c r="O25" t="s">
        <v>188</v>
      </c>
      <c r="P25" s="1">
        <v>93.14</v>
      </c>
      <c r="Q25" s="1">
        <v>59146.55</v>
      </c>
      <c r="R25" t="s">
        <v>186</v>
      </c>
      <c r="S25" s="1">
        <v>59146.55</v>
      </c>
      <c r="T25">
        <f t="shared" si="0"/>
        <v>118293.1</v>
      </c>
    </row>
    <row r="26" spans="1:20" x14ac:dyDescent="0.35">
      <c r="A26" t="s">
        <v>189</v>
      </c>
      <c r="B26" s="1">
        <v>292713.74</v>
      </c>
      <c r="C26" s="1">
        <v>1938887</v>
      </c>
      <c r="D26" t="s">
        <v>38</v>
      </c>
      <c r="E26" s="1">
        <v>6.62</v>
      </c>
      <c r="F26" t="s">
        <v>190</v>
      </c>
      <c r="G26" t="s">
        <v>191</v>
      </c>
      <c r="H26" t="s">
        <v>38</v>
      </c>
      <c r="I26" t="s">
        <v>192</v>
      </c>
      <c r="J26" t="s">
        <v>36</v>
      </c>
      <c r="K26" t="s">
        <v>33</v>
      </c>
      <c r="L26" s="1">
        <v>1665177</v>
      </c>
      <c r="M26">
        <v>6</v>
      </c>
      <c r="N26" t="s">
        <v>60</v>
      </c>
      <c r="O26" t="s">
        <v>193</v>
      </c>
      <c r="P26" s="1">
        <v>253.65</v>
      </c>
      <c r="Q26" s="1">
        <v>41816.25</v>
      </c>
      <c r="R26" t="s">
        <v>194</v>
      </c>
      <c r="S26" s="1">
        <v>48785.62</v>
      </c>
      <c r="T26">
        <f t="shared" si="0"/>
        <v>250897.5</v>
      </c>
    </row>
    <row r="27" spans="1:20" x14ac:dyDescent="0.35">
      <c r="A27" t="s">
        <v>195</v>
      </c>
      <c r="B27" s="1">
        <v>162270.99</v>
      </c>
      <c r="C27" s="1">
        <v>1324723</v>
      </c>
      <c r="D27" t="s">
        <v>57</v>
      </c>
      <c r="E27" s="1">
        <v>8.16</v>
      </c>
      <c r="F27" t="s">
        <v>196</v>
      </c>
      <c r="G27" t="s">
        <v>197</v>
      </c>
      <c r="H27" t="s">
        <v>57</v>
      </c>
      <c r="I27" t="s">
        <v>91</v>
      </c>
      <c r="J27" t="s">
        <v>198</v>
      </c>
      <c r="K27" t="s">
        <v>47</v>
      </c>
      <c r="L27" s="1">
        <v>797483</v>
      </c>
      <c r="M27">
        <v>3</v>
      </c>
      <c r="N27" t="s">
        <v>199</v>
      </c>
      <c r="O27" t="s">
        <v>200</v>
      </c>
      <c r="P27" s="1">
        <v>345.26</v>
      </c>
      <c r="Q27" s="1">
        <v>32454.2</v>
      </c>
      <c r="R27" t="s">
        <v>201</v>
      </c>
      <c r="S27" s="1">
        <v>54090.33</v>
      </c>
      <c r="T27">
        <f t="shared" si="0"/>
        <v>97362.6</v>
      </c>
    </row>
    <row r="28" spans="1:20" x14ac:dyDescent="0.35">
      <c r="A28" t="s">
        <v>202</v>
      </c>
      <c r="B28" s="1">
        <v>128378.33</v>
      </c>
      <c r="C28" s="1">
        <v>548320</v>
      </c>
      <c r="D28" t="s">
        <v>52</v>
      </c>
      <c r="E28" s="1">
        <v>4.2699999999999996</v>
      </c>
      <c r="F28" t="s">
        <v>203</v>
      </c>
      <c r="G28" t="s">
        <v>204</v>
      </c>
      <c r="H28" t="s">
        <v>52</v>
      </c>
      <c r="I28" t="s">
        <v>205</v>
      </c>
      <c r="J28" t="s">
        <v>206</v>
      </c>
      <c r="K28" t="s">
        <v>52</v>
      </c>
      <c r="L28" s="1">
        <v>548320</v>
      </c>
      <c r="M28">
        <v>2</v>
      </c>
      <c r="N28" t="s">
        <v>62</v>
      </c>
      <c r="O28" t="s">
        <v>207</v>
      </c>
      <c r="P28" s="1">
        <v>233.84</v>
      </c>
      <c r="Q28" s="1">
        <v>64189.17</v>
      </c>
      <c r="R28" t="s">
        <v>206</v>
      </c>
      <c r="S28" s="1">
        <v>64189.17</v>
      </c>
      <c r="T28">
        <f t="shared" si="0"/>
        <v>128378.34</v>
      </c>
    </row>
    <row r="29" spans="1:20" x14ac:dyDescent="0.35">
      <c r="A29" t="s">
        <v>208</v>
      </c>
      <c r="B29" s="1">
        <v>155668.44</v>
      </c>
      <c r="C29" s="1">
        <v>0</v>
      </c>
      <c r="D29" t="s">
        <v>90</v>
      </c>
      <c r="E29" s="1">
        <v>0</v>
      </c>
      <c r="F29" t="s">
        <v>209</v>
      </c>
      <c r="G29" t="s">
        <v>210</v>
      </c>
      <c r="H29" t="s">
        <v>90</v>
      </c>
      <c r="I29" t="s">
        <v>211</v>
      </c>
      <c r="J29" t="s">
        <v>93</v>
      </c>
      <c r="K29" t="s">
        <v>90</v>
      </c>
      <c r="L29" s="1">
        <v>0</v>
      </c>
      <c r="M29">
        <v>0</v>
      </c>
      <c r="N29" t="s">
        <v>62</v>
      </c>
      <c r="O29" t="s">
        <v>212</v>
      </c>
      <c r="P29" s="1">
        <v>49.64</v>
      </c>
      <c r="Q29" s="1">
        <v>0</v>
      </c>
      <c r="R29" t="s">
        <v>93</v>
      </c>
      <c r="S29" s="1">
        <v>0</v>
      </c>
      <c r="T29">
        <f t="shared" si="0"/>
        <v>0</v>
      </c>
    </row>
    <row r="30" spans="1:20" x14ac:dyDescent="0.35">
      <c r="A30" t="s">
        <v>213</v>
      </c>
      <c r="B30" s="1">
        <v>180937.72</v>
      </c>
      <c r="C30" s="1">
        <v>2556640</v>
      </c>
      <c r="D30" t="s">
        <v>33</v>
      </c>
      <c r="E30" s="1">
        <v>14.13</v>
      </c>
      <c r="F30" t="s">
        <v>214</v>
      </c>
      <c r="G30" t="s">
        <v>215</v>
      </c>
      <c r="H30" t="s">
        <v>18</v>
      </c>
      <c r="I30" t="s">
        <v>216</v>
      </c>
      <c r="J30" t="s">
        <v>64</v>
      </c>
      <c r="K30" t="s">
        <v>33</v>
      </c>
      <c r="L30" s="1">
        <v>2556640</v>
      </c>
      <c r="M30">
        <v>9</v>
      </c>
      <c r="N30" t="s">
        <v>163</v>
      </c>
      <c r="O30" t="s">
        <v>217</v>
      </c>
      <c r="P30" s="1">
        <v>72.23</v>
      </c>
      <c r="Q30" s="1">
        <v>30156.29</v>
      </c>
      <c r="R30" t="s">
        <v>64</v>
      </c>
      <c r="S30" s="1">
        <v>30156.29</v>
      </c>
      <c r="T30">
        <f t="shared" si="0"/>
        <v>180937.74</v>
      </c>
    </row>
    <row r="31" spans="1:20" x14ac:dyDescent="0.35">
      <c r="A31" t="s">
        <v>218</v>
      </c>
      <c r="B31" s="1">
        <v>177841.85</v>
      </c>
      <c r="C31" s="1">
        <v>1405940</v>
      </c>
      <c r="D31" t="s">
        <v>52</v>
      </c>
      <c r="E31" s="1">
        <v>7.91</v>
      </c>
      <c r="F31" t="s">
        <v>219</v>
      </c>
      <c r="G31" t="s">
        <v>220</v>
      </c>
      <c r="H31" t="s">
        <v>57</v>
      </c>
      <c r="I31" t="s">
        <v>221</v>
      </c>
      <c r="J31" t="s">
        <v>222</v>
      </c>
      <c r="K31" t="s">
        <v>52</v>
      </c>
      <c r="L31" s="1">
        <v>1405940</v>
      </c>
      <c r="M31">
        <v>5</v>
      </c>
      <c r="N31" t="s">
        <v>223</v>
      </c>
      <c r="O31" t="s">
        <v>224</v>
      </c>
      <c r="P31" s="1">
        <v>79.61</v>
      </c>
      <c r="Q31" s="1">
        <v>88920.93</v>
      </c>
      <c r="R31" t="s">
        <v>222</v>
      </c>
      <c r="S31" s="1">
        <v>88920.93</v>
      </c>
      <c r="T31">
        <f t="shared" si="0"/>
        <v>177841.86</v>
      </c>
    </row>
    <row r="32" spans="1:20" x14ac:dyDescent="0.35">
      <c r="A32" t="s">
        <v>225</v>
      </c>
      <c r="B32" s="1">
        <v>0</v>
      </c>
      <c r="C32" s="1">
        <v>0</v>
      </c>
      <c r="D32" t="s">
        <v>90</v>
      </c>
      <c r="E32" s="1">
        <v>0</v>
      </c>
      <c r="F32" t="s">
        <v>226</v>
      </c>
      <c r="G32" t="s">
        <v>90</v>
      </c>
      <c r="H32" t="s">
        <v>90</v>
      </c>
      <c r="I32" t="s">
        <v>142</v>
      </c>
      <c r="J32" t="s">
        <v>93</v>
      </c>
      <c r="K32" t="s">
        <v>90</v>
      </c>
      <c r="L32" s="1">
        <v>0</v>
      </c>
      <c r="M32">
        <v>0</v>
      </c>
      <c r="N32" t="s">
        <v>33</v>
      </c>
      <c r="O32" t="s">
        <v>93</v>
      </c>
      <c r="P32" s="1">
        <v>0</v>
      </c>
      <c r="Q32" s="1">
        <v>0</v>
      </c>
      <c r="R32" t="s">
        <v>93</v>
      </c>
      <c r="S32" s="1">
        <v>0</v>
      </c>
      <c r="T3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Dalfa Safitri</cp:lastModifiedBy>
  <dcterms:created xsi:type="dcterms:W3CDTF">2026-02-10T04:56:58Z</dcterms:created>
  <dcterms:modified xsi:type="dcterms:W3CDTF">2026-02-10T05:18:18Z</dcterms:modified>
</cp:coreProperties>
</file>