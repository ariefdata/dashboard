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C8F9E58F-EAAB-4C77-95E7-CE3C7FC346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</calcChain>
</file>

<file path=xl/sharedStrings.xml><?xml version="1.0" encoding="utf-8"?>
<sst xmlns="http://schemas.openxmlformats.org/spreadsheetml/2006/main" count="73" uniqueCount="67">
  <si>
    <t>Nilai Bruto Barang Dagangan (GMV) (Rp)</t>
  </si>
  <si>
    <t>Pengembalian dana (Rp)</t>
  </si>
  <si>
    <t>Detail pendapatan bruto dengan subsidi produk platform</t>
  </si>
  <si>
    <t>Produk terjual</t>
  </si>
  <si>
    <t>Pembeli unik</t>
  </si>
  <si>
    <t>Tayangan halaman</t>
  </si>
  <si>
    <t>Kunjungan halaman Toko</t>
  </si>
  <si>
    <t>Pesanan SKU</t>
  </si>
  <si>
    <t>Pesanan</t>
  </si>
  <si>
    <t>Persentase konversi</t>
  </si>
  <si>
    <t>Tanggal</t>
  </si>
  <si>
    <t>2026-01-01</t>
  </si>
  <si>
    <t>0.88%</t>
  </si>
  <si>
    <t>2026-01-02</t>
  </si>
  <si>
    <t>1.10%</t>
  </si>
  <si>
    <t>2026-01-03</t>
  </si>
  <si>
    <t>1.01%</t>
  </si>
  <si>
    <t>2026-01-04</t>
  </si>
  <si>
    <t>0.94%</t>
  </si>
  <si>
    <t>2026-01-05</t>
  </si>
  <si>
    <t>1.04%</t>
  </si>
  <si>
    <t>2026-01-06</t>
  </si>
  <si>
    <t>1.16%</t>
  </si>
  <si>
    <t>2026-01-07</t>
  </si>
  <si>
    <t>0.90%</t>
  </si>
  <si>
    <t>2026-01-08</t>
  </si>
  <si>
    <t>0.95%</t>
  </si>
  <si>
    <t>2026-01-09</t>
  </si>
  <si>
    <t>1.07%</t>
  </si>
  <si>
    <t>2026-01-10</t>
  </si>
  <si>
    <t>2026-01-11</t>
  </si>
  <si>
    <t>0.71%</t>
  </si>
  <si>
    <t>2026-01-12</t>
  </si>
  <si>
    <t>1.06%</t>
  </si>
  <si>
    <t>2026-01-13</t>
  </si>
  <si>
    <t>0.99%</t>
  </si>
  <si>
    <t>2026-01-14</t>
  </si>
  <si>
    <t>0.83%</t>
  </si>
  <si>
    <t>2026-01-15</t>
  </si>
  <si>
    <t>0.61%</t>
  </si>
  <si>
    <t>2026-01-16</t>
  </si>
  <si>
    <t>2026-01-17</t>
  </si>
  <si>
    <t>0.89%</t>
  </si>
  <si>
    <t>2026-01-18</t>
  </si>
  <si>
    <t>0.86%</t>
  </si>
  <si>
    <t>2026-01-19</t>
  </si>
  <si>
    <t>2026-01-20</t>
  </si>
  <si>
    <t>0.84%</t>
  </si>
  <si>
    <t>2026-01-21</t>
  </si>
  <si>
    <t>0.63%</t>
  </si>
  <si>
    <t>2026-01-22</t>
  </si>
  <si>
    <t>0.52%</t>
  </si>
  <si>
    <t>2026-01-23</t>
  </si>
  <si>
    <t>1.12%</t>
  </si>
  <si>
    <t>2026-01-24</t>
  </si>
  <si>
    <t>2026-01-25</t>
  </si>
  <si>
    <t>0.93%</t>
  </si>
  <si>
    <t>2026-01-26</t>
  </si>
  <si>
    <t>2026-01-27</t>
  </si>
  <si>
    <t>0.81%</t>
  </si>
  <si>
    <t>2026-01-28</t>
  </si>
  <si>
    <t>1.00%</t>
  </si>
  <si>
    <t>2026-01-29</t>
  </si>
  <si>
    <t>0.77%</t>
  </si>
  <si>
    <t>2026-01-30</t>
  </si>
  <si>
    <t>2026-01-31</t>
  </si>
  <si>
    <t>1.21%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</si>
</sst>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5" workbookViewId="0">
      <selection activeCell="G2" sqref="G2:G32"/>
    </sheetView>
  </sheetViews>
  <sheetFormatPr defaultRowHeight="14.5" x14ac:dyDescent="0.35"/>
  <cols>
    <col min="2" max="2" width="16.08984375" customWidth="1"/>
    <col min="3" max="3" width="21.453125" customWidth="1"/>
    <col min="4" max="4" width="26.1796875" customWidth="1"/>
  </cols>
  <sheetData>
    <row r="1" spans="1:12" s="1" customFormat="1" ht="58" x14ac:dyDescent="0.3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2" x14ac:dyDescent="0.35">
      <c r="A2" t="s">
        <v>11</v>
      </c>
      <c r="B2" s="2">
        <v>10627104</v>
      </c>
      <c r="C2" s="2">
        <v>183000</v>
      </c>
      <c r="D2" s="2">
        <v>11258904</v>
      </c>
      <c r="E2" s="2">
        <v>40</v>
      </c>
      <c r="F2" s="2">
        <v>36</v>
      </c>
      <c r="G2" s="2">
        <v>6532</v>
      </c>
      <c r="H2" s="2">
        <v>4077</v>
      </c>
      <c r="I2" s="2">
        <v>40</v>
      </c>
      <c r="J2" s="2">
        <v>39</v>
      </c>
      <c r="K2" t="s">
        <v>12</v>
      </c>
      <c r="L2">
        <f>E2-J2</f>
        <v>1</v>
      </c>
    </row>
    <row r="3" spans="1:12" x14ac:dyDescent="0.35">
      <c r="A3" t="s">
        <v>13</v>
      </c>
      <c r="B3" s="2">
        <v>14517720</v>
      </c>
      <c r="C3" s="2">
        <v>799300</v>
      </c>
      <c r="D3" s="2">
        <v>15261720</v>
      </c>
      <c r="E3" s="2">
        <v>54</v>
      </c>
      <c r="F3" s="2">
        <v>49</v>
      </c>
      <c r="G3" s="2">
        <v>7157</v>
      </c>
      <c r="H3" s="2">
        <v>4448</v>
      </c>
      <c r="I3" s="2">
        <v>54</v>
      </c>
      <c r="J3" s="2">
        <v>54</v>
      </c>
      <c r="K3" t="s">
        <v>14</v>
      </c>
      <c r="L3">
        <f t="shared" ref="L3:L32" si="0">E3-J3</f>
        <v>0</v>
      </c>
    </row>
    <row r="4" spans="1:12" x14ac:dyDescent="0.35">
      <c r="A4" t="s">
        <v>15</v>
      </c>
      <c r="B4" s="2">
        <v>19699689</v>
      </c>
      <c r="C4" s="2">
        <v>1032060</v>
      </c>
      <c r="D4" s="2">
        <v>19721689</v>
      </c>
      <c r="E4" s="2">
        <v>75</v>
      </c>
      <c r="F4" s="2">
        <v>63</v>
      </c>
      <c r="G4" s="2">
        <v>10018</v>
      </c>
      <c r="H4" s="2">
        <v>6265</v>
      </c>
      <c r="I4" s="2">
        <v>72</v>
      </c>
      <c r="J4" s="2">
        <v>67</v>
      </c>
      <c r="K4" t="s">
        <v>16</v>
      </c>
      <c r="L4">
        <f t="shared" si="0"/>
        <v>8</v>
      </c>
    </row>
    <row r="5" spans="1:12" x14ac:dyDescent="0.35">
      <c r="A5" t="s">
        <v>17</v>
      </c>
      <c r="B5" s="2">
        <v>14032273</v>
      </c>
      <c r="C5" s="2">
        <v>279200</v>
      </c>
      <c r="D5" s="2">
        <v>14954823</v>
      </c>
      <c r="E5" s="2">
        <v>54</v>
      </c>
      <c r="F5" s="2">
        <v>51</v>
      </c>
      <c r="G5" s="2">
        <v>9077</v>
      </c>
      <c r="H5" s="2">
        <v>5452</v>
      </c>
      <c r="I5" s="2">
        <v>54</v>
      </c>
      <c r="J5" s="2">
        <v>54</v>
      </c>
      <c r="K5" t="s">
        <v>18</v>
      </c>
      <c r="L5">
        <f t="shared" si="0"/>
        <v>0</v>
      </c>
    </row>
    <row r="6" spans="1:12" x14ac:dyDescent="0.35">
      <c r="A6" t="s">
        <v>19</v>
      </c>
      <c r="B6" s="2">
        <v>12765897</v>
      </c>
      <c r="C6" s="2">
        <v>263000</v>
      </c>
      <c r="D6" s="2">
        <v>13344497</v>
      </c>
      <c r="E6" s="2">
        <v>49</v>
      </c>
      <c r="F6" s="2">
        <v>45</v>
      </c>
      <c r="G6" s="2">
        <v>7085</v>
      </c>
      <c r="H6" s="2">
        <v>4332</v>
      </c>
      <c r="I6" s="2">
        <v>49</v>
      </c>
      <c r="J6" s="2">
        <v>47</v>
      </c>
      <c r="K6" t="s">
        <v>20</v>
      </c>
      <c r="L6">
        <f t="shared" si="0"/>
        <v>2</v>
      </c>
    </row>
    <row r="7" spans="1:12" x14ac:dyDescent="0.35">
      <c r="A7" t="s">
        <v>21</v>
      </c>
      <c r="B7" s="2">
        <v>20266588</v>
      </c>
      <c r="C7" s="2">
        <v>556400</v>
      </c>
      <c r="D7" s="2">
        <v>22752988</v>
      </c>
      <c r="E7" s="2">
        <v>75</v>
      </c>
      <c r="F7" s="2">
        <v>67</v>
      </c>
      <c r="G7" s="2">
        <v>9288</v>
      </c>
      <c r="H7" s="2">
        <v>5782</v>
      </c>
      <c r="I7" s="2">
        <v>75</v>
      </c>
      <c r="J7" s="2">
        <v>74</v>
      </c>
      <c r="K7" t="s">
        <v>22</v>
      </c>
      <c r="L7">
        <f t="shared" si="0"/>
        <v>1</v>
      </c>
    </row>
    <row r="8" spans="1:12" x14ac:dyDescent="0.35">
      <c r="A8" t="s">
        <v>23</v>
      </c>
      <c r="B8" s="2">
        <v>11377688</v>
      </c>
      <c r="C8" s="2">
        <v>307400</v>
      </c>
      <c r="D8" s="2">
        <v>13636821</v>
      </c>
      <c r="E8" s="2">
        <v>42</v>
      </c>
      <c r="F8" s="2">
        <v>41</v>
      </c>
      <c r="G8" s="2">
        <v>7431</v>
      </c>
      <c r="H8" s="2">
        <v>4536</v>
      </c>
      <c r="I8" s="2">
        <v>42</v>
      </c>
      <c r="J8" s="2">
        <v>42</v>
      </c>
      <c r="K8" t="s">
        <v>24</v>
      </c>
      <c r="L8">
        <f t="shared" si="0"/>
        <v>0</v>
      </c>
    </row>
    <row r="9" spans="1:12" x14ac:dyDescent="0.35">
      <c r="A9" t="s">
        <v>25</v>
      </c>
      <c r="B9" s="2">
        <v>11084246</v>
      </c>
      <c r="C9" s="2">
        <v>260390</v>
      </c>
      <c r="D9" s="2">
        <v>11084246</v>
      </c>
      <c r="E9" s="2">
        <v>45</v>
      </c>
      <c r="F9" s="2">
        <v>40</v>
      </c>
      <c r="G9" s="2">
        <v>6854</v>
      </c>
      <c r="H9" s="2">
        <v>4206</v>
      </c>
      <c r="I9" s="2">
        <v>43</v>
      </c>
      <c r="J9" s="2">
        <v>41</v>
      </c>
      <c r="K9" t="s">
        <v>26</v>
      </c>
      <c r="L9">
        <f t="shared" si="0"/>
        <v>4</v>
      </c>
    </row>
    <row r="10" spans="1:12" x14ac:dyDescent="0.35">
      <c r="A10" t="s">
        <v>27</v>
      </c>
      <c r="B10" s="2">
        <v>19620412</v>
      </c>
      <c r="C10" s="2">
        <v>811300</v>
      </c>
      <c r="D10" s="2">
        <v>21475086</v>
      </c>
      <c r="E10" s="2">
        <v>74</v>
      </c>
      <c r="F10" s="2">
        <v>63</v>
      </c>
      <c r="G10" s="2">
        <v>9605</v>
      </c>
      <c r="H10" s="2">
        <v>5899</v>
      </c>
      <c r="I10" s="2">
        <v>74</v>
      </c>
      <c r="J10" s="2">
        <v>71</v>
      </c>
      <c r="K10" t="s">
        <v>28</v>
      </c>
      <c r="L10">
        <f t="shared" si="0"/>
        <v>3</v>
      </c>
    </row>
    <row r="11" spans="1:12" x14ac:dyDescent="0.35">
      <c r="A11" t="s">
        <v>29</v>
      </c>
      <c r="B11" s="2">
        <v>19920870</v>
      </c>
      <c r="C11" s="2">
        <v>265630</v>
      </c>
      <c r="D11" s="2">
        <v>20889409</v>
      </c>
      <c r="E11" s="2">
        <v>74</v>
      </c>
      <c r="F11" s="2">
        <v>70</v>
      </c>
      <c r="G11" s="2">
        <v>9814</v>
      </c>
      <c r="H11" s="2">
        <v>6010</v>
      </c>
      <c r="I11" s="2">
        <v>74</v>
      </c>
      <c r="J11" s="2">
        <v>74</v>
      </c>
      <c r="K11" t="s">
        <v>22</v>
      </c>
      <c r="L11">
        <f t="shared" si="0"/>
        <v>0</v>
      </c>
    </row>
    <row r="12" spans="1:12" x14ac:dyDescent="0.35">
      <c r="A12" t="s">
        <v>30</v>
      </c>
      <c r="B12" s="2">
        <v>11400787</v>
      </c>
      <c r="C12" s="2">
        <v>0</v>
      </c>
      <c r="D12" s="2">
        <v>11477107</v>
      </c>
      <c r="E12" s="2">
        <v>42</v>
      </c>
      <c r="F12" s="2">
        <v>36</v>
      </c>
      <c r="G12" s="2">
        <v>8120</v>
      </c>
      <c r="H12" s="2">
        <v>5090</v>
      </c>
      <c r="I12" s="2">
        <v>42</v>
      </c>
      <c r="J12" s="2">
        <v>42</v>
      </c>
      <c r="K12" t="s">
        <v>31</v>
      </c>
      <c r="L12">
        <f t="shared" si="0"/>
        <v>0</v>
      </c>
    </row>
    <row r="13" spans="1:12" x14ac:dyDescent="0.35">
      <c r="A13" t="s">
        <v>32</v>
      </c>
      <c r="B13" s="2">
        <v>20061084</v>
      </c>
      <c r="C13" s="2">
        <v>539200</v>
      </c>
      <c r="D13" s="2">
        <v>20522184</v>
      </c>
      <c r="E13" s="2">
        <v>75</v>
      </c>
      <c r="F13" s="2">
        <v>72</v>
      </c>
      <c r="G13" s="2">
        <v>10874</v>
      </c>
      <c r="H13" s="2">
        <v>6824</v>
      </c>
      <c r="I13" s="2">
        <v>75</v>
      </c>
      <c r="J13" s="2">
        <v>74</v>
      </c>
      <c r="K13" t="s">
        <v>33</v>
      </c>
      <c r="L13">
        <f t="shared" si="0"/>
        <v>1</v>
      </c>
    </row>
    <row r="14" spans="1:12" x14ac:dyDescent="0.35">
      <c r="A14" t="s">
        <v>34</v>
      </c>
      <c r="B14" s="2">
        <v>15936130</v>
      </c>
      <c r="C14" s="2">
        <v>532000</v>
      </c>
      <c r="D14" s="2">
        <v>16566830</v>
      </c>
      <c r="E14" s="2">
        <v>62</v>
      </c>
      <c r="F14" s="2">
        <v>56</v>
      </c>
      <c r="G14" s="2">
        <v>8910</v>
      </c>
      <c r="H14" s="2">
        <v>5656</v>
      </c>
      <c r="I14" s="2">
        <v>61</v>
      </c>
      <c r="J14" s="2">
        <v>58</v>
      </c>
      <c r="K14" t="s">
        <v>35</v>
      </c>
      <c r="L14">
        <f t="shared" si="0"/>
        <v>4</v>
      </c>
    </row>
    <row r="15" spans="1:12" x14ac:dyDescent="0.35">
      <c r="A15" t="s">
        <v>36</v>
      </c>
      <c r="B15" s="2">
        <v>16495219</v>
      </c>
      <c r="C15" s="2">
        <v>521700</v>
      </c>
      <c r="D15" s="2">
        <v>18003350</v>
      </c>
      <c r="E15" s="2">
        <v>62</v>
      </c>
      <c r="F15" s="2">
        <v>59</v>
      </c>
      <c r="G15" s="2">
        <v>12450</v>
      </c>
      <c r="H15" s="2">
        <v>7118</v>
      </c>
      <c r="I15" s="2">
        <v>62</v>
      </c>
      <c r="J15" s="2">
        <v>61</v>
      </c>
      <c r="K15" t="s">
        <v>37</v>
      </c>
      <c r="L15">
        <f t="shared" si="0"/>
        <v>1</v>
      </c>
    </row>
    <row r="16" spans="1:12" x14ac:dyDescent="0.35">
      <c r="A16" t="s">
        <v>38</v>
      </c>
      <c r="B16" s="2">
        <v>9736345</v>
      </c>
      <c r="C16" s="2">
        <v>517968</v>
      </c>
      <c r="D16" s="2">
        <v>11840529</v>
      </c>
      <c r="E16" s="2">
        <v>36</v>
      </c>
      <c r="F16" s="2">
        <v>34</v>
      </c>
      <c r="G16" s="2">
        <v>9366</v>
      </c>
      <c r="H16" s="2">
        <v>5616</v>
      </c>
      <c r="I16" s="2">
        <v>36</v>
      </c>
      <c r="J16" s="2">
        <v>36</v>
      </c>
      <c r="K16" t="s">
        <v>39</v>
      </c>
      <c r="L16">
        <f t="shared" si="0"/>
        <v>0</v>
      </c>
    </row>
    <row r="17" spans="1:12" x14ac:dyDescent="0.35">
      <c r="A17" t="s">
        <v>40</v>
      </c>
      <c r="B17" s="2">
        <v>21895548</v>
      </c>
      <c r="C17" s="2">
        <v>264000</v>
      </c>
      <c r="D17" s="2">
        <v>23015128</v>
      </c>
      <c r="E17" s="2">
        <v>82</v>
      </c>
      <c r="F17" s="2">
        <v>79</v>
      </c>
      <c r="G17" s="2">
        <v>12857</v>
      </c>
      <c r="H17" s="2">
        <v>7811</v>
      </c>
      <c r="I17" s="2">
        <v>82</v>
      </c>
      <c r="J17" s="2">
        <v>81</v>
      </c>
      <c r="K17" t="s">
        <v>16</v>
      </c>
      <c r="L17">
        <f t="shared" si="0"/>
        <v>1</v>
      </c>
    </row>
    <row r="18" spans="1:12" x14ac:dyDescent="0.35">
      <c r="A18" t="s">
        <v>41</v>
      </c>
      <c r="B18" s="2">
        <v>17928138</v>
      </c>
      <c r="C18" s="2">
        <v>1939300</v>
      </c>
      <c r="D18" s="2">
        <v>18988068</v>
      </c>
      <c r="E18" s="2">
        <v>67</v>
      </c>
      <c r="F18" s="2">
        <v>62</v>
      </c>
      <c r="G18" s="2">
        <v>11328</v>
      </c>
      <c r="H18" s="2">
        <v>6958</v>
      </c>
      <c r="I18" s="2">
        <v>66</v>
      </c>
      <c r="J18" s="2">
        <v>66</v>
      </c>
      <c r="K18" t="s">
        <v>42</v>
      </c>
      <c r="L18">
        <f t="shared" si="0"/>
        <v>1</v>
      </c>
    </row>
    <row r="19" spans="1:12" x14ac:dyDescent="0.35">
      <c r="A19" t="s">
        <v>43</v>
      </c>
      <c r="B19" s="2">
        <v>15615853</v>
      </c>
      <c r="C19" s="2">
        <v>792046</v>
      </c>
      <c r="D19" s="2">
        <v>16302313</v>
      </c>
      <c r="E19" s="2">
        <v>62</v>
      </c>
      <c r="F19" s="2">
        <v>54</v>
      </c>
      <c r="G19" s="2">
        <v>10114</v>
      </c>
      <c r="H19" s="2">
        <v>6264</v>
      </c>
      <c r="I19" s="2">
        <v>62</v>
      </c>
      <c r="J19" s="2">
        <v>58</v>
      </c>
      <c r="K19" t="s">
        <v>44</v>
      </c>
      <c r="L19">
        <f t="shared" si="0"/>
        <v>4</v>
      </c>
    </row>
    <row r="20" spans="1:12" x14ac:dyDescent="0.35">
      <c r="A20" t="s">
        <v>45</v>
      </c>
      <c r="B20" s="2">
        <v>18035632</v>
      </c>
      <c r="C20" s="2">
        <v>1150005</v>
      </c>
      <c r="D20" s="2">
        <v>19919410</v>
      </c>
      <c r="E20" s="2">
        <v>77</v>
      </c>
      <c r="F20" s="2">
        <v>67</v>
      </c>
      <c r="G20" s="2">
        <v>11633</v>
      </c>
      <c r="H20" s="2">
        <v>7161</v>
      </c>
      <c r="I20" s="2">
        <v>75</v>
      </c>
      <c r="J20" s="2">
        <v>71</v>
      </c>
      <c r="K20" t="s">
        <v>18</v>
      </c>
      <c r="L20">
        <f t="shared" si="0"/>
        <v>6</v>
      </c>
    </row>
    <row r="21" spans="1:12" x14ac:dyDescent="0.35">
      <c r="A21" t="s">
        <v>46</v>
      </c>
      <c r="B21" s="2">
        <v>17995803</v>
      </c>
      <c r="C21" s="2">
        <v>261000</v>
      </c>
      <c r="D21" s="2">
        <v>19205191</v>
      </c>
      <c r="E21" s="2">
        <v>71</v>
      </c>
      <c r="F21" s="2">
        <v>66</v>
      </c>
      <c r="G21" s="2">
        <v>12614</v>
      </c>
      <c r="H21" s="2">
        <v>7840</v>
      </c>
      <c r="I21" s="2">
        <v>71</v>
      </c>
      <c r="J21" s="2">
        <v>70</v>
      </c>
      <c r="K21" t="s">
        <v>47</v>
      </c>
      <c r="L21">
        <f t="shared" si="0"/>
        <v>1</v>
      </c>
    </row>
    <row r="22" spans="1:12" x14ac:dyDescent="0.35">
      <c r="A22" t="s">
        <v>48</v>
      </c>
      <c r="B22" s="2">
        <v>10414479</v>
      </c>
      <c r="C22" s="2">
        <v>0</v>
      </c>
      <c r="D22" s="2">
        <v>11774983</v>
      </c>
      <c r="E22" s="2">
        <v>42</v>
      </c>
      <c r="F22" s="2">
        <v>36</v>
      </c>
      <c r="G22" s="2">
        <v>8834</v>
      </c>
      <c r="H22" s="2">
        <v>5758</v>
      </c>
      <c r="I22" s="2">
        <v>42</v>
      </c>
      <c r="J22" s="2">
        <v>39</v>
      </c>
      <c r="K22" t="s">
        <v>49</v>
      </c>
      <c r="L22">
        <f t="shared" si="0"/>
        <v>3</v>
      </c>
    </row>
    <row r="23" spans="1:12" x14ac:dyDescent="0.35">
      <c r="A23" t="s">
        <v>50</v>
      </c>
      <c r="B23" s="2">
        <v>10344587</v>
      </c>
      <c r="C23" s="2">
        <v>261000</v>
      </c>
      <c r="D23" s="2">
        <v>10560587</v>
      </c>
      <c r="E23" s="2">
        <v>42</v>
      </c>
      <c r="F23" s="2">
        <v>36</v>
      </c>
      <c r="G23" s="2">
        <v>10536</v>
      </c>
      <c r="H23" s="2">
        <v>6939</v>
      </c>
      <c r="I23" s="2">
        <v>42</v>
      </c>
      <c r="J23" s="2">
        <v>39</v>
      </c>
      <c r="K23" t="s">
        <v>51</v>
      </c>
      <c r="L23">
        <f t="shared" si="0"/>
        <v>3</v>
      </c>
    </row>
    <row r="24" spans="1:12" x14ac:dyDescent="0.35">
      <c r="A24" t="s">
        <v>52</v>
      </c>
      <c r="B24" s="2">
        <v>23880929</v>
      </c>
      <c r="C24" s="2">
        <v>1163100</v>
      </c>
      <c r="D24" s="2">
        <v>27233265</v>
      </c>
      <c r="E24" s="2">
        <v>106</v>
      </c>
      <c r="F24" s="2">
        <v>97</v>
      </c>
      <c r="G24" s="2">
        <v>14492</v>
      </c>
      <c r="H24" s="2">
        <v>8699</v>
      </c>
      <c r="I24" s="2">
        <v>105</v>
      </c>
      <c r="J24" s="2">
        <v>104</v>
      </c>
      <c r="K24" t="s">
        <v>53</v>
      </c>
      <c r="L24">
        <f t="shared" si="0"/>
        <v>2</v>
      </c>
    </row>
    <row r="25" spans="1:12" x14ac:dyDescent="0.35">
      <c r="A25" t="s">
        <v>54</v>
      </c>
      <c r="B25" s="2">
        <v>18068490</v>
      </c>
      <c r="C25" s="2">
        <v>1255650</v>
      </c>
      <c r="D25" s="2">
        <v>19795054</v>
      </c>
      <c r="E25" s="2">
        <v>75</v>
      </c>
      <c r="F25" s="2">
        <v>64</v>
      </c>
      <c r="G25" s="2">
        <v>11809</v>
      </c>
      <c r="H25" s="2">
        <v>7234</v>
      </c>
      <c r="I25" s="2">
        <v>75</v>
      </c>
      <c r="J25" s="2">
        <v>71</v>
      </c>
      <c r="K25" t="s">
        <v>12</v>
      </c>
      <c r="L25">
        <f t="shared" si="0"/>
        <v>4</v>
      </c>
    </row>
    <row r="26" spans="1:12" x14ac:dyDescent="0.35">
      <c r="A26" t="s">
        <v>55</v>
      </c>
      <c r="B26" s="2">
        <v>26545824</v>
      </c>
      <c r="C26" s="2">
        <v>480360</v>
      </c>
      <c r="D26" s="2">
        <v>28574164</v>
      </c>
      <c r="E26" s="2">
        <v>114</v>
      </c>
      <c r="F26" s="2">
        <v>96</v>
      </c>
      <c r="G26" s="2">
        <v>16404</v>
      </c>
      <c r="H26" s="2">
        <v>10324</v>
      </c>
      <c r="I26" s="2">
        <v>113</v>
      </c>
      <c r="J26" s="2">
        <v>106</v>
      </c>
      <c r="K26" t="s">
        <v>56</v>
      </c>
      <c r="L26">
        <f t="shared" si="0"/>
        <v>8</v>
      </c>
    </row>
    <row r="27" spans="1:12" x14ac:dyDescent="0.35">
      <c r="A27" t="s">
        <v>57</v>
      </c>
      <c r="B27" s="2">
        <v>8417838</v>
      </c>
      <c r="C27" s="2">
        <v>501205</v>
      </c>
      <c r="D27" s="2">
        <v>10085364</v>
      </c>
      <c r="E27" s="2">
        <v>34</v>
      </c>
      <c r="F27" s="2">
        <v>32</v>
      </c>
      <c r="G27" s="2">
        <v>9290</v>
      </c>
      <c r="H27" s="2">
        <v>6206</v>
      </c>
      <c r="I27" s="2">
        <v>34</v>
      </c>
      <c r="J27" s="2">
        <v>34</v>
      </c>
      <c r="K27" t="s">
        <v>51</v>
      </c>
      <c r="L27">
        <f t="shared" si="0"/>
        <v>0</v>
      </c>
    </row>
    <row r="28" spans="1:12" x14ac:dyDescent="0.35">
      <c r="A28" t="s">
        <v>58</v>
      </c>
      <c r="B28" s="2">
        <v>18485091</v>
      </c>
      <c r="C28" s="2">
        <v>787600</v>
      </c>
      <c r="D28" s="2">
        <v>19939997</v>
      </c>
      <c r="E28" s="2">
        <v>71</v>
      </c>
      <c r="F28" s="2">
        <v>67</v>
      </c>
      <c r="G28" s="2">
        <v>13102</v>
      </c>
      <c r="H28" s="2">
        <v>8279</v>
      </c>
      <c r="I28" s="2">
        <v>71</v>
      </c>
      <c r="J28" s="2">
        <v>70</v>
      </c>
      <c r="K28" t="s">
        <v>59</v>
      </c>
      <c r="L28">
        <f t="shared" si="0"/>
        <v>1</v>
      </c>
    </row>
    <row r="29" spans="1:12" x14ac:dyDescent="0.35">
      <c r="A29" t="s">
        <v>60</v>
      </c>
      <c r="B29" s="2">
        <v>22264000</v>
      </c>
      <c r="C29" s="2">
        <v>0</v>
      </c>
      <c r="D29" s="2">
        <v>22920150</v>
      </c>
      <c r="E29" s="2">
        <v>85</v>
      </c>
      <c r="F29" s="2">
        <v>79</v>
      </c>
      <c r="G29" s="2">
        <v>12451</v>
      </c>
      <c r="H29" s="2">
        <v>7861</v>
      </c>
      <c r="I29" s="2">
        <v>85</v>
      </c>
      <c r="J29" s="2">
        <v>82</v>
      </c>
      <c r="K29" t="s">
        <v>61</v>
      </c>
      <c r="L29">
        <f t="shared" si="0"/>
        <v>3</v>
      </c>
    </row>
    <row r="30" spans="1:12" x14ac:dyDescent="0.35">
      <c r="A30" t="s">
        <v>62</v>
      </c>
      <c r="B30" s="2">
        <v>14072337</v>
      </c>
      <c r="C30" s="2">
        <v>0</v>
      </c>
      <c r="D30" s="2">
        <v>14495567</v>
      </c>
      <c r="E30" s="2">
        <v>56</v>
      </c>
      <c r="F30" s="2">
        <v>50</v>
      </c>
      <c r="G30" s="2">
        <v>10444</v>
      </c>
      <c r="H30" s="2">
        <v>6466</v>
      </c>
      <c r="I30" s="2">
        <v>56</v>
      </c>
      <c r="J30" s="2">
        <v>54</v>
      </c>
      <c r="K30" t="s">
        <v>63</v>
      </c>
      <c r="L30">
        <f t="shared" si="0"/>
        <v>2</v>
      </c>
    </row>
    <row r="31" spans="1:12" x14ac:dyDescent="0.35">
      <c r="A31" t="s">
        <v>64</v>
      </c>
      <c r="B31" s="2">
        <v>17577710</v>
      </c>
      <c r="C31" s="2">
        <v>1060530</v>
      </c>
      <c r="D31" s="2">
        <v>19144167</v>
      </c>
      <c r="E31" s="2">
        <v>68</v>
      </c>
      <c r="F31" s="2">
        <v>62</v>
      </c>
      <c r="G31" s="2">
        <v>9683</v>
      </c>
      <c r="H31" s="2">
        <v>5935</v>
      </c>
      <c r="I31" s="2">
        <v>68</v>
      </c>
      <c r="J31" s="2">
        <v>66</v>
      </c>
      <c r="K31" t="s">
        <v>20</v>
      </c>
      <c r="L31">
        <f t="shared" si="0"/>
        <v>2</v>
      </c>
    </row>
    <row r="32" spans="1:12" x14ac:dyDescent="0.35">
      <c r="A32" t="s">
        <v>65</v>
      </c>
      <c r="B32" s="2">
        <v>16580504</v>
      </c>
      <c r="C32" s="2">
        <v>288700</v>
      </c>
      <c r="D32" s="2">
        <v>17011304</v>
      </c>
      <c r="E32" s="2">
        <v>65</v>
      </c>
      <c r="F32" s="2">
        <v>60</v>
      </c>
      <c r="G32" s="2">
        <v>8199</v>
      </c>
      <c r="H32" s="2">
        <v>4969</v>
      </c>
      <c r="I32" s="2">
        <v>65</v>
      </c>
      <c r="J32" s="2">
        <v>63</v>
      </c>
      <c r="K32" t="s">
        <v>66</v>
      </c>
      <c r="L32">
        <f t="shared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2026-02-10T04:43:53Z</dcterms:modified>
</cp:coreProperties>
</file>